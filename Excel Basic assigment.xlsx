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601FF32-BADC-46BD-9F7C-5842424695BC}" xr6:coauthVersionLast="36" xr6:coauthVersionMax="36" xr10:uidLastSave="{00000000-0000-0000-0000-000000000000}"/>
  <bookViews>
    <workbookView xWindow="0" yWindow="0" windowWidth="19200" windowHeight="6930" activeTab="1" xr2:uid="{D75C44D7-C747-4B69-90BE-501CE9648D43}"/>
  </bookViews>
  <sheets>
    <sheet name="Answer2-3" sheetId="1" r:id="rId1"/>
    <sheet name="Answer 4-8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K9" i="2"/>
  <c r="K3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E24" i="1"/>
  <c r="E14" i="1"/>
  <c r="K13" i="1"/>
  <c r="G24" i="1"/>
  <c r="G14" i="1"/>
  <c r="M9" i="2"/>
  <c r="M3" i="2"/>
</calcChain>
</file>

<file path=xl/sharedStrings.xml><?xml version="1.0" encoding="utf-8"?>
<sst xmlns="http://schemas.openxmlformats.org/spreadsheetml/2006/main" count="195" uniqueCount="89">
  <si>
    <t>Assignment fo Basic Excel</t>
  </si>
  <si>
    <t>QUESTIONS AND ASWERS ARE BELOW :</t>
  </si>
  <si>
    <t>Question-2---- Write a formula to calculate the total sales of car and bicycle only</t>
  </si>
  <si>
    <t>Vehicle</t>
  </si>
  <si>
    <t>Price</t>
  </si>
  <si>
    <t>Car</t>
  </si>
  <si>
    <t>Bicycle</t>
  </si>
  <si>
    <t>Auto Rickshaw</t>
  </si>
  <si>
    <t>Ans</t>
  </si>
  <si>
    <t>formula used</t>
  </si>
  <si>
    <t>Question-3- -Using the data below, write a formula to calculate the average sales of items priced above 100 but less than 300</t>
  </si>
  <si>
    <t>Item</t>
  </si>
  <si>
    <t>Sales</t>
  </si>
  <si>
    <t>Item A</t>
  </si>
  <si>
    <t>Item B</t>
  </si>
  <si>
    <t>Item C</t>
  </si>
  <si>
    <t>OrderID</t>
  </si>
  <si>
    <t>CustomerName</t>
  </si>
  <si>
    <t>Region</t>
  </si>
  <si>
    <t>Product</t>
  </si>
  <si>
    <t>Quantity</t>
  </si>
  <si>
    <t>UnitPrice</t>
  </si>
  <si>
    <t>OrderDate</t>
  </si>
  <si>
    <t>Total sales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</si>
  <si>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</si>
  <si>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</si>
  <si>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</si>
  <si>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</si>
  <si>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</si>
  <si>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</si>
  <si>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</si>
  <si>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</si>
  <si>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</si>
  <si>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</si>
  <si>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</si>
  <si>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</si>
  <si>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</si>
  <si>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</si>
  <si>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</si>
  <si>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</si>
  <si>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</si>
  <si>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</si>
  <si>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</si>
  <si>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</si>
  <si>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</si>
  <si>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</si>
  <si>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</si>
  <si>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</si>
  <si>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</si>
  <si>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</si>
  <si>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</si>
  <si>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</si>
  <si>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</si>
  <si>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</si>
  <si>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</si>
  <si>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</si>
  <si>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</si>
  <si>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</si>
  <si>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</si>
  <si>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</si>
  <si>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</si>
  <si>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</si>
  <si>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</si>
  <si>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</si>
  <si>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</si>
  <si>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</si>
  <si>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</si>
  <si>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</si>
  <si>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</si>
  <si>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</si>
  <si>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</si>
  <si>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</si>
  <si>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</si>
  <si>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</si>
  <si>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</si>
  <si>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</si>
  <si>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</si>
  <si>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</si>
  <si>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</si>
  <si>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</si>
  <si>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</si>
  <si>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</si>
  <si>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</si>
  <si>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Q-4-- Count how many Customer names are recorded</t>
  </si>
  <si>
    <t>Q-5-- Calculate the total sales for each row using a formula</t>
  </si>
  <si>
    <t>Q-6-- Calculate the total sales of notebooks in the North region only</t>
  </si>
  <si>
    <t>Q-7-- Create a column chart showing total sales by product</t>
  </si>
  <si>
    <t>Q-8-- Insert a line chart showing daily sales trend</t>
  </si>
  <si>
    <t>Added total sales column and by using formula -quantity*unit price- we got total sales of each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</si>
</sst>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2" fillId="5" borderId="2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wrapText="1"/>
    </xf>
    <xf numFmtId="0" fontId="1" fillId="6" borderId="4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164" fontId="2" fillId="5" borderId="2" xfId="0" applyNumberFormat="1" applyFont="1" applyFill="1" applyBorder="1" applyAlignment="1">
      <alignment wrapText="1"/>
    </xf>
    <xf numFmtId="164" fontId="3" fillId="0" borderId="2" xfId="0" applyNumberFormat="1" applyFont="1" applyBorder="1" applyAlignment="1">
      <alignment wrapText="1"/>
    </xf>
    <xf numFmtId="164" fontId="0" fillId="0" borderId="0" xfId="0" applyNumberFormat="1" applyAlignment="1"/>
    <xf numFmtId="0" fontId="1" fillId="7" borderId="0" xfId="0" applyFont="1" applyFill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8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'Answer 4-8'!$K$12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'Answer 4-8'!$J$13:$J$17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'Answer 4-8'!$K$13:$K$17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7-45BA-8E11-09FA386A0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652096"/>
        <c:axId val="1751641968"/>
      </c:barChart>
      <c:catAx>
        <c:axId val="175465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641968"/>
        <c:crosses val="autoZero"/>
        <c:auto val="1"/>
        <c:lblAlgn val="ctr"/>
        <c:lblOffset val="100"/>
        <c:noMultiLvlLbl val="0"/>
      </c:catAx>
      <c:valAx>
        <c:axId val="175164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65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'Answer 4-8'!$H$1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'Answer 4-8'!$G$2:$G$51</c:f>
              <c:numCache>
                <c:formatCode>dd/mm/yyyy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'Answer 4-8'!$H$2:$H$51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ED-49FA-BC9F-072FB9BE1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8683504"/>
        <c:axId val="1916336608"/>
      </c:lineChart>
      <c:dateAx>
        <c:axId val="1828683504"/>
        <c:scaling>
          <c:orientation val="minMax"/>
        </c:scaling>
        <c:delete val="0"/>
        <c:axPos val="b"/>
        <c:numFmt formatCode="dd/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336608"/>
        <c:crosses val="autoZero"/>
        <c:auto val="1"/>
        <c:lblOffset val="100"/>
        <c:baseTimeUnit val="days"/>
      </c:dateAx>
      <c:valAx>
        <c:axId val="191633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68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13</xdr:row>
      <xdr:rowOff>88900</xdr:rowOff>
    </xdr:from>
    <xdr:to>
      <xdr:col>4</xdr:col>
      <xdr:colOff>6350</xdr:colOff>
      <xdr:row>13</xdr:row>
      <xdr:rowOff>95250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9581722C-9C56-4FD6-8337-0BB6019A0AAE}"/>
            </a:ext>
          </a:extLst>
        </xdr:cNvPr>
        <xdr:cNvCxnSpPr/>
      </xdr:nvCxnSpPr>
      <xdr:spPr>
        <a:xfrm>
          <a:off x="2209800" y="2482850"/>
          <a:ext cx="2349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819150</xdr:colOff>
      <xdr:row>13</xdr:row>
      <xdr:rowOff>101600</xdr:rowOff>
    </xdr:from>
    <xdr:to>
      <xdr:col>5</xdr:col>
      <xdr:colOff>1098550</xdr:colOff>
      <xdr:row>13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E43F7F2-A312-4BCB-BC0A-0A0D5D1842EC}"/>
            </a:ext>
          </a:extLst>
        </xdr:cNvPr>
        <xdr:cNvCxnSpPr/>
      </xdr:nvCxnSpPr>
      <xdr:spPr>
        <a:xfrm>
          <a:off x="4191000" y="2495550"/>
          <a:ext cx="2794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23</xdr:row>
      <xdr:rowOff>95250</xdr:rowOff>
    </xdr:from>
    <xdr:to>
      <xdr:col>3</xdr:col>
      <xdr:colOff>596900</xdr:colOff>
      <xdr:row>23</xdr:row>
      <xdr:rowOff>101600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10873EC-7525-4396-ACC2-2864409E67E8}"/>
            </a:ext>
          </a:extLst>
        </xdr:cNvPr>
        <xdr:cNvCxnSpPr/>
      </xdr:nvCxnSpPr>
      <xdr:spPr>
        <a:xfrm>
          <a:off x="2190750" y="4330700"/>
          <a:ext cx="2349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819150</xdr:colOff>
      <xdr:row>23</xdr:row>
      <xdr:rowOff>101600</xdr:rowOff>
    </xdr:from>
    <xdr:to>
      <xdr:col>5</xdr:col>
      <xdr:colOff>1098550</xdr:colOff>
      <xdr:row>23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E9692F7-0565-4F79-B104-7891D2A58F92}"/>
            </a:ext>
          </a:extLst>
        </xdr:cNvPr>
        <xdr:cNvCxnSpPr/>
      </xdr:nvCxnSpPr>
      <xdr:spPr>
        <a:xfrm>
          <a:off x="4191000" y="4337050"/>
          <a:ext cx="2794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2</xdr:row>
      <xdr:rowOff>88900</xdr:rowOff>
    </xdr:from>
    <xdr:to>
      <xdr:col>10</xdr:col>
      <xdr:colOff>6350</xdr:colOff>
      <xdr:row>2</xdr:row>
      <xdr:rowOff>95250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2E8D1C8F-2BE0-44C1-A6BB-ED0CD55467E3}"/>
            </a:ext>
          </a:extLst>
        </xdr:cNvPr>
        <xdr:cNvCxnSpPr/>
      </xdr:nvCxnSpPr>
      <xdr:spPr>
        <a:xfrm>
          <a:off x="7683500" y="469900"/>
          <a:ext cx="4889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819150</xdr:colOff>
      <xdr:row>2</xdr:row>
      <xdr:rowOff>101600</xdr:rowOff>
    </xdr:from>
    <xdr:to>
      <xdr:col>11</xdr:col>
      <xdr:colOff>1098550</xdr:colOff>
      <xdr:row>2</xdr:row>
      <xdr:rowOff>114300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69FA2F9-3FA3-494F-A4A6-83973D0EDC4C}"/>
            </a:ext>
          </a:extLst>
        </xdr:cNvPr>
        <xdr:cNvCxnSpPr/>
      </xdr:nvCxnSpPr>
      <xdr:spPr>
        <a:xfrm>
          <a:off x="9613900" y="482600"/>
          <a:ext cx="2794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5</xdr:row>
      <xdr:rowOff>88900</xdr:rowOff>
    </xdr:from>
    <xdr:to>
      <xdr:col>10</xdr:col>
      <xdr:colOff>6350</xdr:colOff>
      <xdr:row>5</xdr:row>
      <xdr:rowOff>95250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30DB78B-C7D6-4B97-A4A6-E19CE3E2FB6E}"/>
            </a:ext>
          </a:extLst>
        </xdr:cNvPr>
        <xdr:cNvCxnSpPr/>
      </xdr:nvCxnSpPr>
      <xdr:spPr>
        <a:xfrm>
          <a:off x="7683500" y="1041400"/>
          <a:ext cx="4889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8</xdr:row>
      <xdr:rowOff>88900</xdr:rowOff>
    </xdr:from>
    <xdr:to>
      <xdr:col>10</xdr:col>
      <xdr:colOff>6350</xdr:colOff>
      <xdr:row>8</xdr:row>
      <xdr:rowOff>95250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32DE9E02-C4C3-46E2-876C-5CAA00362C08}"/>
            </a:ext>
          </a:extLst>
        </xdr:cNvPr>
        <xdr:cNvCxnSpPr/>
      </xdr:nvCxnSpPr>
      <xdr:spPr>
        <a:xfrm>
          <a:off x="7683500" y="1612900"/>
          <a:ext cx="4889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831850</xdr:colOff>
      <xdr:row>8</xdr:row>
      <xdr:rowOff>146050</xdr:rowOff>
    </xdr:from>
    <xdr:to>
      <xdr:col>12</xdr:col>
      <xdr:colOff>44450</xdr:colOff>
      <xdr:row>8</xdr:row>
      <xdr:rowOff>146050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DF218FA-B6B7-4C9D-A6C1-EBF084CEAD79}"/>
            </a:ext>
          </a:extLst>
        </xdr:cNvPr>
        <xdr:cNvCxnSpPr/>
      </xdr:nvCxnSpPr>
      <xdr:spPr>
        <a:xfrm>
          <a:off x="8591550" y="1854200"/>
          <a:ext cx="254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380999</xdr:colOff>
      <xdr:row>10</xdr:row>
      <xdr:rowOff>152400</xdr:rowOff>
    </xdr:from>
    <xdr:to>
      <xdr:col>16</xdr:col>
      <xdr:colOff>22224</xdr:colOff>
      <xdr:row>21</xdr:row>
      <xdr:rowOff>114300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D2EB7EC-84A1-4BBE-81CB-D8148B7C8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123825</xdr:colOff>
      <xdr:row>24</xdr:row>
      <xdr:rowOff>101600</xdr:rowOff>
    </xdr:from>
    <xdr:to>
      <xdr:col>15</xdr:col>
      <xdr:colOff>549275</xdr:colOff>
      <xdr:row>38</xdr:row>
      <xdr:rowOff>177800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3F749C0-C2DB-402B-8886-835168C7A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5059-8E6C-4F27-A0AA-F7951BC790C0}">
  <dimension ref="D1:N24"/>
  <sheetViews>
    <sheetView topLeftCell="A12" workbookViewId="0">
      <selection activeCell="B31" sqref="B31"/>
    </sheetView>
  </sheetViews>
  <sheetFormatPr defaultRowHeight="14.5" x14ac:dyDescent="0.35"/>
  <cols>
    <col min="5" max="5" width="13.36328125" bestFit="1" customWidth="1"/>
    <col min="6" max="6" width="15.90625" customWidth="1"/>
    <col min="14" max="14" width="14.7265625" customWidth="1"/>
  </cols>
  <sheetData>
    <row r="1" spans="4:12" x14ac:dyDescent="0.35">
      <c r="E1" s="15" t="s">
        <v>0</v>
      </c>
      <c r="F1" s="15"/>
      <c r="G1" s="15"/>
      <c r="H1" s="15"/>
      <c r="I1" s="15"/>
      <c r="J1" s="15"/>
    </row>
    <row r="2" spans="4:12" x14ac:dyDescent="0.35">
      <c r="E2" s="15"/>
      <c r="F2" s="15"/>
      <c r="G2" s="15"/>
      <c r="H2" s="15"/>
      <c r="I2" s="15"/>
      <c r="J2" s="15"/>
    </row>
    <row r="4" spans="4:12" x14ac:dyDescent="0.35">
      <c r="E4" s="16" t="s">
        <v>1</v>
      </c>
      <c r="F4" s="16"/>
      <c r="G4" s="16"/>
      <c r="H4" s="16"/>
    </row>
    <row r="5" spans="4:12" x14ac:dyDescent="0.35">
      <c r="E5" s="16"/>
      <c r="F5" s="16"/>
      <c r="G5" s="16"/>
      <c r="H5" s="16"/>
    </row>
    <row r="7" spans="4:12" x14ac:dyDescent="0.35">
      <c r="D7" s="17" t="s">
        <v>2</v>
      </c>
      <c r="E7" s="17"/>
      <c r="F7" s="17"/>
      <c r="G7" s="17"/>
      <c r="H7" s="17"/>
      <c r="I7" s="17"/>
      <c r="J7" s="17"/>
      <c r="K7" s="17"/>
      <c r="L7" s="17"/>
    </row>
    <row r="9" spans="4:12" x14ac:dyDescent="0.35">
      <c r="E9" s="1" t="s">
        <v>3</v>
      </c>
      <c r="F9" s="1" t="s">
        <v>4</v>
      </c>
    </row>
    <row r="10" spans="4:12" x14ac:dyDescent="0.35">
      <c r="E10" s="2" t="s">
        <v>5</v>
      </c>
      <c r="F10" s="2">
        <v>500000</v>
      </c>
    </row>
    <row r="11" spans="4:12" x14ac:dyDescent="0.35">
      <c r="E11" s="2" t="s">
        <v>6</v>
      </c>
      <c r="F11" s="2">
        <v>10500</v>
      </c>
    </row>
    <row r="12" spans="4:12" x14ac:dyDescent="0.35">
      <c r="E12" s="2" t="s">
        <v>7</v>
      </c>
      <c r="F12" s="2">
        <v>25000</v>
      </c>
    </row>
    <row r="13" spans="4:12" x14ac:dyDescent="0.35">
      <c r="E13" s="2"/>
      <c r="F13" s="2"/>
      <c r="K13">
        <f>SUMIFS(F10:F12,E10:E12,"car",E10:E12,"Bicycle")</f>
        <v>0</v>
      </c>
    </row>
    <row r="14" spans="4:12" x14ac:dyDescent="0.35">
      <c r="D14" s="3" t="s">
        <v>8</v>
      </c>
      <c r="E14">
        <f>SUM(F10,F11)</f>
        <v>510500</v>
      </c>
      <c r="F14" s="3" t="s">
        <v>9</v>
      </c>
      <c r="G14" t="str">
        <f ca="1">_xlfn.FORMULATEXT(E14)</f>
        <v>=SUM(F10,F11)</v>
      </c>
    </row>
    <row r="17" spans="4:14" x14ac:dyDescent="0.35">
      <c r="E17" s="17" t="s">
        <v>10</v>
      </c>
      <c r="F17" s="17"/>
      <c r="G17" s="17"/>
      <c r="H17" s="17"/>
      <c r="I17" s="17"/>
      <c r="J17" s="17"/>
      <c r="K17" s="17"/>
      <c r="L17" s="17"/>
      <c r="M17" s="17"/>
      <c r="N17" s="17"/>
    </row>
    <row r="19" spans="4:14" x14ac:dyDescent="0.35">
      <c r="E19" s="1" t="s">
        <v>11</v>
      </c>
      <c r="F19" s="1" t="s">
        <v>4</v>
      </c>
      <c r="G19" s="1" t="s">
        <v>12</v>
      </c>
    </row>
    <row r="20" spans="4:14" x14ac:dyDescent="0.35">
      <c r="E20" s="2" t="s">
        <v>13</v>
      </c>
      <c r="F20" s="2">
        <v>90</v>
      </c>
      <c r="G20" s="2">
        <v>1000</v>
      </c>
    </row>
    <row r="21" spans="4:14" x14ac:dyDescent="0.35">
      <c r="E21" s="2" t="s">
        <v>14</v>
      </c>
      <c r="F21" s="2">
        <v>150</v>
      </c>
      <c r="G21" s="2">
        <v>1200</v>
      </c>
    </row>
    <row r="22" spans="4:14" x14ac:dyDescent="0.35">
      <c r="E22" s="2" t="s">
        <v>15</v>
      </c>
      <c r="F22" s="2">
        <v>250</v>
      </c>
      <c r="G22" s="2">
        <v>1500</v>
      </c>
    </row>
    <row r="24" spans="4:14" x14ac:dyDescent="0.35">
      <c r="D24" s="3" t="s">
        <v>8</v>
      </c>
      <c r="E24">
        <f>AVERAGE(G21:G22)</f>
        <v>1350</v>
      </c>
      <c r="F24" s="3" t="s">
        <v>9</v>
      </c>
      <c r="G24" t="str">
        <f ca="1">_xlfn.FORMULATEXT(E24)</f>
        <v>=AVERAGE(G21:G22)</v>
      </c>
    </row>
  </sheetData>
  <mergeCells count="4">
    <mergeCell ref="E1:J2"/>
    <mergeCell ref="E4:H5"/>
    <mergeCell ref="D7:L7"/>
    <mergeCell ref="E17:N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81A3-5D4C-4B5F-8CED-FDEA79154E8C}">
  <dimension ref="A1:R51"/>
  <sheetViews>
    <sheetView tabSelected="1" topLeftCell="C1" workbookViewId="0">
      <selection activeCell="K7" sqref="K7"/>
    </sheetView>
  </sheetViews>
  <sheetFormatPr defaultRowHeight="14.5" x14ac:dyDescent="0.35"/>
  <cols>
    <col min="1" max="1" width="7.54296875" customWidth="1"/>
    <col min="2" max="2" width="14.1796875" customWidth="1"/>
    <col min="3" max="3" width="8.6328125" customWidth="1"/>
    <col min="4" max="4" width="12.1796875" customWidth="1"/>
    <col min="5" max="5" width="9" customWidth="1"/>
    <col min="6" max="6" width="11.90625" customWidth="1"/>
    <col min="7" max="7" width="12.6328125" style="13" customWidth="1"/>
    <col min="8" max="8" width="10.54296875" customWidth="1"/>
    <col min="9" max="9" width="4.7265625" customWidth="1"/>
    <col min="11" max="11" width="9.54296875" customWidth="1"/>
    <col min="12" max="12" width="14.90625" customWidth="1"/>
    <col min="16" max="16" width="16" bestFit="1" customWidth="1"/>
  </cols>
  <sheetData>
    <row r="1" spans="1:18" ht="15" customHeight="1" thickBot="1" x14ac:dyDescent="0.4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11" t="s">
        <v>22</v>
      </c>
      <c r="H1" s="5" t="s">
        <v>23</v>
      </c>
    </row>
    <row r="2" spans="1:18" ht="15" customHeight="1" thickBot="1" x14ac:dyDescent="0.4">
      <c r="A2" s="6">
        <v>1001</v>
      </c>
      <c r="B2" s="7" t="s">
        <v>24</v>
      </c>
      <c r="C2" s="7" t="s">
        <v>25</v>
      </c>
      <c r="D2" s="7" t="s">
        <v>26</v>
      </c>
      <c r="E2" s="6">
        <v>10</v>
      </c>
      <c r="F2" s="6">
        <v>50</v>
      </c>
      <c r="G2" s="12">
        <v>45296</v>
      </c>
      <c r="H2">
        <f>E2*F2</f>
        <v>500</v>
      </c>
      <c r="J2" s="18" t="s">
        <v>83</v>
      </c>
      <c r="K2" s="18"/>
      <c r="L2" s="18"/>
      <c r="M2" s="18"/>
      <c r="N2" s="18"/>
      <c r="O2" s="18"/>
      <c r="P2" s="18"/>
      <c r="Q2" s="18"/>
      <c r="R2" s="18"/>
    </row>
    <row r="3" spans="1:18" ht="15" customHeight="1" thickBot="1" x14ac:dyDescent="0.4">
      <c r="A3" s="6">
        <v>1002</v>
      </c>
      <c r="B3" s="7" t="s">
        <v>27</v>
      </c>
      <c r="C3" s="7" t="s">
        <v>28</v>
      </c>
      <c r="D3" s="7" t="s">
        <v>29</v>
      </c>
      <c r="E3" s="6">
        <v>20</v>
      </c>
      <c r="F3" s="6">
        <v>10</v>
      </c>
      <c r="G3" s="12">
        <v>45297</v>
      </c>
      <c r="H3">
        <f t="shared" ref="H3:H51" si="0">E3*F3</f>
        <v>200</v>
      </c>
      <c r="J3" s="14" t="s">
        <v>8</v>
      </c>
      <c r="K3">
        <f>COUNTA(B2:B51)</f>
        <v>50</v>
      </c>
      <c r="L3" s="3" t="s">
        <v>9</v>
      </c>
      <c r="M3" t="str">
        <f ca="1">_xlfn.FORMULATEXT(K3)</f>
        <v>=COUNTA(B2:B51)</v>
      </c>
    </row>
    <row r="4" spans="1:18" ht="15" customHeight="1" thickBot="1" x14ac:dyDescent="0.4">
      <c r="A4" s="6">
        <v>1003</v>
      </c>
      <c r="B4" s="7" t="s">
        <v>30</v>
      </c>
      <c r="C4" s="7" t="s">
        <v>31</v>
      </c>
      <c r="D4" s="7" t="s">
        <v>32</v>
      </c>
      <c r="E4" s="6">
        <v>15</v>
      </c>
      <c r="F4" s="6">
        <v>25</v>
      </c>
      <c r="G4" s="12">
        <v>45298</v>
      </c>
      <c r="H4">
        <f t="shared" si="0"/>
        <v>375</v>
      </c>
    </row>
    <row r="5" spans="1:18" ht="15" customHeight="1" thickBot="1" x14ac:dyDescent="0.4">
      <c r="A5" s="6">
        <v>1004</v>
      </c>
      <c r="B5" s="7" t="s">
        <v>33</v>
      </c>
      <c r="C5" s="7" t="s">
        <v>34</v>
      </c>
      <c r="D5" s="7" t="s">
        <v>26</v>
      </c>
      <c r="E5" s="6">
        <v>5</v>
      </c>
      <c r="F5" s="6">
        <v>50</v>
      </c>
      <c r="G5" s="12">
        <v>45299</v>
      </c>
      <c r="H5">
        <f t="shared" si="0"/>
        <v>250</v>
      </c>
      <c r="J5" s="18" t="s">
        <v>84</v>
      </c>
      <c r="K5" s="18"/>
      <c r="L5" s="18"/>
      <c r="M5" s="18"/>
      <c r="N5" s="18"/>
      <c r="O5" s="18"/>
      <c r="P5" s="18"/>
      <c r="Q5" s="18"/>
      <c r="R5" s="18"/>
    </row>
    <row r="6" spans="1:18" ht="15" customHeight="1" thickBot="1" x14ac:dyDescent="0.4">
      <c r="A6" s="6">
        <v>1005</v>
      </c>
      <c r="B6" s="7" t="s">
        <v>35</v>
      </c>
      <c r="C6" s="7" t="s">
        <v>25</v>
      </c>
      <c r="D6" s="7" t="s">
        <v>36</v>
      </c>
      <c r="E6" s="6">
        <v>30</v>
      </c>
      <c r="F6" s="6">
        <v>5</v>
      </c>
      <c r="G6" s="12">
        <v>45301</v>
      </c>
      <c r="H6">
        <f t="shared" si="0"/>
        <v>150</v>
      </c>
      <c r="J6" s="14" t="s">
        <v>8</v>
      </c>
      <c r="K6" t="s">
        <v>88</v>
      </c>
      <c r="L6" s="3"/>
    </row>
    <row r="7" spans="1:18" ht="15" customHeight="1" thickBot="1" x14ac:dyDescent="0.4">
      <c r="A7" s="6">
        <v>1006</v>
      </c>
      <c r="B7" s="7" t="s">
        <v>37</v>
      </c>
      <c r="C7" s="7" t="s">
        <v>28</v>
      </c>
      <c r="D7" s="7" t="s">
        <v>26</v>
      </c>
      <c r="E7" s="6">
        <v>12</v>
      </c>
      <c r="F7" s="6">
        <v>50</v>
      </c>
      <c r="G7" s="12">
        <v>45302</v>
      </c>
      <c r="H7">
        <f t="shared" si="0"/>
        <v>600</v>
      </c>
    </row>
    <row r="8" spans="1:18" ht="15" customHeight="1" thickBot="1" x14ac:dyDescent="0.4">
      <c r="A8" s="6">
        <v>1007</v>
      </c>
      <c r="B8" s="7" t="s">
        <v>38</v>
      </c>
      <c r="C8" s="7" t="s">
        <v>31</v>
      </c>
      <c r="D8" s="7" t="s">
        <v>39</v>
      </c>
      <c r="E8" s="6">
        <v>25</v>
      </c>
      <c r="F8" s="6">
        <v>8</v>
      </c>
      <c r="G8" s="12">
        <v>45304</v>
      </c>
      <c r="H8">
        <f t="shared" si="0"/>
        <v>200</v>
      </c>
      <c r="J8" s="18" t="s">
        <v>85</v>
      </c>
      <c r="K8" s="18"/>
      <c r="L8" s="18"/>
      <c r="M8" s="18"/>
      <c r="N8" s="18"/>
      <c r="O8" s="18"/>
      <c r="P8" s="18"/>
      <c r="Q8" s="18"/>
      <c r="R8" s="18"/>
    </row>
    <row r="9" spans="1:18" ht="15" customHeight="1" thickBot="1" x14ac:dyDescent="0.4">
      <c r="A9" s="6">
        <v>1008</v>
      </c>
      <c r="B9" s="7" t="s">
        <v>40</v>
      </c>
      <c r="C9" s="7" t="s">
        <v>34</v>
      </c>
      <c r="D9" s="7" t="s">
        <v>29</v>
      </c>
      <c r="E9" s="6">
        <v>18</v>
      </c>
      <c r="F9" s="6">
        <v>10</v>
      </c>
      <c r="G9" s="12">
        <v>45306</v>
      </c>
      <c r="H9">
        <f t="shared" si="0"/>
        <v>180</v>
      </c>
      <c r="J9" s="14" t="s">
        <v>8</v>
      </c>
      <c r="K9">
        <f>SUMIFS(H2:H51,C2:C51,"North",D2:D51,"Notebook")</f>
        <v>2900</v>
      </c>
      <c r="L9" s="3" t="s">
        <v>9</v>
      </c>
      <c r="M9" t="str">
        <f ca="1">_xlfn.FORMULATEXT(K9)</f>
        <v>=SUMIFS(H2:H51,C2:C51,"North",D2:D51,"Notebook")</v>
      </c>
    </row>
    <row r="10" spans="1:18" ht="15" customHeight="1" thickBot="1" x14ac:dyDescent="0.4">
      <c r="A10" s="6">
        <v>1009</v>
      </c>
      <c r="B10" s="7" t="s">
        <v>41</v>
      </c>
      <c r="C10" s="7" t="s">
        <v>25</v>
      </c>
      <c r="D10" s="7" t="s">
        <v>32</v>
      </c>
      <c r="E10" s="6">
        <v>22</v>
      </c>
      <c r="F10" s="6">
        <v>25</v>
      </c>
      <c r="G10" s="12">
        <v>45308</v>
      </c>
      <c r="H10">
        <f t="shared" si="0"/>
        <v>550</v>
      </c>
    </row>
    <row r="11" spans="1:18" ht="15" customHeight="1" thickBot="1" x14ac:dyDescent="0.4">
      <c r="A11" s="6">
        <v>1010</v>
      </c>
      <c r="B11" s="7" t="s">
        <v>42</v>
      </c>
      <c r="C11" s="7" t="s">
        <v>28</v>
      </c>
      <c r="D11" s="7" t="s">
        <v>26</v>
      </c>
      <c r="E11" s="6">
        <v>8</v>
      </c>
      <c r="F11" s="6">
        <v>50</v>
      </c>
      <c r="G11" s="12">
        <v>45309</v>
      </c>
      <c r="H11">
        <f t="shared" si="0"/>
        <v>400</v>
      </c>
      <c r="J11" s="18" t="s">
        <v>86</v>
      </c>
      <c r="K11" s="18"/>
      <c r="L11" s="18"/>
      <c r="M11" s="18"/>
      <c r="N11" s="18"/>
      <c r="O11" s="18"/>
      <c r="P11" s="18"/>
      <c r="Q11" s="18"/>
      <c r="R11" s="18"/>
    </row>
    <row r="12" spans="1:18" ht="15" customHeight="1" thickBot="1" x14ac:dyDescent="0.4">
      <c r="A12" s="6">
        <v>1011</v>
      </c>
      <c r="B12" s="7" t="s">
        <v>43</v>
      </c>
      <c r="C12" s="7" t="s">
        <v>31</v>
      </c>
      <c r="D12" s="7" t="s">
        <v>36</v>
      </c>
      <c r="E12" s="6">
        <v>40</v>
      </c>
      <c r="F12" s="6">
        <v>5</v>
      </c>
      <c r="G12" s="12">
        <v>45310</v>
      </c>
      <c r="H12">
        <f t="shared" si="0"/>
        <v>200</v>
      </c>
      <c r="J12" s="8" t="s">
        <v>19</v>
      </c>
      <c r="K12" s="8" t="s">
        <v>23</v>
      </c>
    </row>
    <row r="13" spans="1:18" ht="15" customHeight="1" thickBot="1" x14ac:dyDescent="0.4">
      <c r="A13" s="6">
        <v>1012</v>
      </c>
      <c r="B13" s="7" t="s">
        <v>44</v>
      </c>
      <c r="C13" s="7" t="s">
        <v>34</v>
      </c>
      <c r="D13" s="7" t="s">
        <v>39</v>
      </c>
      <c r="E13" s="6">
        <v>35</v>
      </c>
      <c r="F13" s="6">
        <v>8</v>
      </c>
      <c r="G13" s="12">
        <v>45311</v>
      </c>
      <c r="H13">
        <f t="shared" si="0"/>
        <v>280</v>
      </c>
      <c r="J13" s="9" t="s">
        <v>39</v>
      </c>
      <c r="K13" s="10">
        <v>1928</v>
      </c>
    </row>
    <row r="14" spans="1:18" ht="15" customHeight="1" thickBot="1" x14ac:dyDescent="0.4">
      <c r="A14" s="6">
        <v>1013</v>
      </c>
      <c r="B14" s="7" t="s">
        <v>45</v>
      </c>
      <c r="C14" s="7" t="s">
        <v>25</v>
      </c>
      <c r="D14" s="7" t="s">
        <v>26</v>
      </c>
      <c r="E14" s="6">
        <v>14</v>
      </c>
      <c r="F14" s="6">
        <v>50</v>
      </c>
      <c r="G14" s="12">
        <v>45313</v>
      </c>
      <c r="H14">
        <f t="shared" si="0"/>
        <v>700</v>
      </c>
      <c r="J14" s="9" t="s">
        <v>32</v>
      </c>
      <c r="K14" s="10">
        <v>3650</v>
      </c>
    </row>
    <row r="15" spans="1:18" ht="15" customHeight="1" thickBot="1" x14ac:dyDescent="0.4">
      <c r="A15" s="6">
        <v>1014</v>
      </c>
      <c r="B15" s="7" t="s">
        <v>46</v>
      </c>
      <c r="C15" s="7" t="s">
        <v>28</v>
      </c>
      <c r="D15" s="7" t="s">
        <v>29</v>
      </c>
      <c r="E15" s="6">
        <v>28</v>
      </c>
      <c r="F15" s="6">
        <v>10</v>
      </c>
      <c r="G15" s="12">
        <v>45314</v>
      </c>
      <c r="H15">
        <f t="shared" si="0"/>
        <v>280</v>
      </c>
      <c r="J15" s="9" t="s">
        <v>26</v>
      </c>
      <c r="K15" s="10">
        <v>7550</v>
      </c>
    </row>
    <row r="16" spans="1:18" ht="15" customHeight="1" thickBot="1" x14ac:dyDescent="0.4">
      <c r="A16" s="6">
        <v>1015</v>
      </c>
      <c r="B16" s="7" t="s">
        <v>47</v>
      </c>
      <c r="C16" s="7" t="s">
        <v>31</v>
      </c>
      <c r="D16" s="7" t="s">
        <v>32</v>
      </c>
      <c r="E16" s="6">
        <v>12</v>
      </c>
      <c r="F16" s="6">
        <v>25</v>
      </c>
      <c r="G16" s="12">
        <v>45315</v>
      </c>
      <c r="H16">
        <f t="shared" si="0"/>
        <v>300</v>
      </c>
      <c r="J16" s="9" t="s">
        <v>29</v>
      </c>
      <c r="K16" s="10">
        <v>2180</v>
      </c>
    </row>
    <row r="17" spans="1:18" ht="15" customHeight="1" thickBot="1" x14ac:dyDescent="0.4">
      <c r="A17" s="6">
        <v>1016</v>
      </c>
      <c r="B17" s="7" t="s">
        <v>48</v>
      </c>
      <c r="C17" s="7" t="s">
        <v>34</v>
      </c>
      <c r="D17" s="7" t="s">
        <v>36</v>
      </c>
      <c r="E17" s="6">
        <v>25</v>
      </c>
      <c r="F17" s="6">
        <v>5</v>
      </c>
      <c r="G17" s="12">
        <v>45317</v>
      </c>
      <c r="H17">
        <f t="shared" si="0"/>
        <v>125</v>
      </c>
      <c r="J17" s="9" t="s">
        <v>36</v>
      </c>
      <c r="K17" s="10">
        <v>1235</v>
      </c>
    </row>
    <row r="18" spans="1:18" ht="15" customHeight="1" thickBot="1" x14ac:dyDescent="0.4">
      <c r="A18" s="6">
        <v>1017</v>
      </c>
      <c r="B18" s="7" t="s">
        <v>49</v>
      </c>
      <c r="C18" s="7" t="s">
        <v>25</v>
      </c>
      <c r="D18" s="7" t="s">
        <v>39</v>
      </c>
      <c r="E18" s="6">
        <v>20</v>
      </c>
      <c r="F18" s="6">
        <v>8</v>
      </c>
      <c r="G18" s="12">
        <v>45319</v>
      </c>
      <c r="H18">
        <f t="shared" si="0"/>
        <v>160</v>
      </c>
    </row>
    <row r="19" spans="1:18" ht="15" customHeight="1" thickBot="1" x14ac:dyDescent="0.4">
      <c r="A19" s="6">
        <v>1018</v>
      </c>
      <c r="B19" s="7" t="s">
        <v>50</v>
      </c>
      <c r="C19" s="7" t="s">
        <v>28</v>
      </c>
      <c r="D19" s="7" t="s">
        <v>26</v>
      </c>
      <c r="E19" s="6">
        <v>10</v>
      </c>
      <c r="F19" s="6">
        <v>50</v>
      </c>
      <c r="G19" s="12">
        <v>45320</v>
      </c>
      <c r="H19">
        <f t="shared" si="0"/>
        <v>500</v>
      </c>
    </row>
    <row r="20" spans="1:18" ht="15" customHeight="1" thickBot="1" x14ac:dyDescent="0.4">
      <c r="A20" s="6">
        <v>1019</v>
      </c>
      <c r="B20" s="7" t="s">
        <v>51</v>
      </c>
      <c r="C20" s="7" t="s">
        <v>31</v>
      </c>
      <c r="D20" s="7" t="s">
        <v>29</v>
      </c>
      <c r="E20" s="6">
        <v>15</v>
      </c>
      <c r="F20" s="6">
        <v>10</v>
      </c>
      <c r="G20" s="12">
        <v>45321</v>
      </c>
      <c r="H20">
        <f t="shared" si="0"/>
        <v>150</v>
      </c>
    </row>
    <row r="21" spans="1:18" ht="15" customHeight="1" thickBot="1" x14ac:dyDescent="0.4">
      <c r="A21" s="6">
        <v>1020</v>
      </c>
      <c r="B21" s="7" t="s">
        <v>52</v>
      </c>
      <c r="C21" s="7" t="s">
        <v>34</v>
      </c>
      <c r="D21" s="7" t="s">
        <v>32</v>
      </c>
      <c r="E21" s="6">
        <v>18</v>
      </c>
      <c r="F21" s="6">
        <v>25</v>
      </c>
      <c r="G21" s="12">
        <v>45323</v>
      </c>
      <c r="H21">
        <f t="shared" si="0"/>
        <v>450</v>
      </c>
    </row>
    <row r="22" spans="1:18" ht="15" customHeight="1" thickBot="1" x14ac:dyDescent="0.4">
      <c r="A22" s="6">
        <v>1021</v>
      </c>
      <c r="B22" s="7" t="s">
        <v>53</v>
      </c>
      <c r="C22" s="7" t="s">
        <v>25</v>
      </c>
      <c r="D22" s="7" t="s">
        <v>26</v>
      </c>
      <c r="E22" s="6">
        <v>9</v>
      </c>
      <c r="F22" s="6">
        <v>50</v>
      </c>
      <c r="G22" s="12">
        <v>45324</v>
      </c>
      <c r="H22">
        <f t="shared" si="0"/>
        <v>450</v>
      </c>
    </row>
    <row r="23" spans="1:18" ht="15" customHeight="1" thickBot="1" x14ac:dyDescent="0.4">
      <c r="A23" s="6">
        <v>1022</v>
      </c>
      <c r="B23" s="7" t="s">
        <v>54</v>
      </c>
      <c r="C23" s="7" t="s">
        <v>28</v>
      </c>
      <c r="D23" s="7" t="s">
        <v>36</v>
      </c>
      <c r="E23" s="6">
        <v>35</v>
      </c>
      <c r="F23" s="6">
        <v>5</v>
      </c>
      <c r="G23" s="12">
        <v>45325</v>
      </c>
      <c r="H23">
        <f t="shared" si="0"/>
        <v>175</v>
      </c>
    </row>
    <row r="24" spans="1:18" ht="15" customHeight="1" thickBot="1" x14ac:dyDescent="0.4">
      <c r="A24" s="6">
        <v>1023</v>
      </c>
      <c r="B24" s="7" t="s">
        <v>55</v>
      </c>
      <c r="C24" s="7" t="s">
        <v>31</v>
      </c>
      <c r="D24" s="7" t="s">
        <v>39</v>
      </c>
      <c r="E24" s="6">
        <v>30</v>
      </c>
      <c r="F24" s="6">
        <v>8</v>
      </c>
      <c r="G24" s="12">
        <v>45326</v>
      </c>
      <c r="H24">
        <f t="shared" si="0"/>
        <v>240</v>
      </c>
      <c r="J24" s="18" t="s">
        <v>87</v>
      </c>
      <c r="K24" s="18"/>
      <c r="L24" s="18"/>
      <c r="M24" s="18"/>
      <c r="N24" s="18"/>
      <c r="O24" s="18"/>
      <c r="P24" s="18"/>
      <c r="Q24" s="18"/>
      <c r="R24" s="18"/>
    </row>
    <row r="25" spans="1:18" ht="15" customHeight="1" thickBot="1" x14ac:dyDescent="0.4">
      <c r="A25" s="6">
        <v>1024</v>
      </c>
      <c r="B25" s="7" t="s">
        <v>56</v>
      </c>
      <c r="C25" s="7" t="s">
        <v>34</v>
      </c>
      <c r="D25" s="7" t="s">
        <v>26</v>
      </c>
      <c r="E25" s="6">
        <v>11</v>
      </c>
      <c r="F25" s="6">
        <v>50</v>
      </c>
      <c r="G25" s="12">
        <v>45328</v>
      </c>
      <c r="H25">
        <f t="shared" si="0"/>
        <v>550</v>
      </c>
    </row>
    <row r="26" spans="1:18" ht="15" customHeight="1" thickBot="1" x14ac:dyDescent="0.4">
      <c r="A26" s="6">
        <v>1025</v>
      </c>
      <c r="B26" s="7" t="s">
        <v>57</v>
      </c>
      <c r="C26" s="7" t="s">
        <v>25</v>
      </c>
      <c r="D26" s="7" t="s">
        <v>29</v>
      </c>
      <c r="E26" s="6">
        <v>14</v>
      </c>
      <c r="F26" s="6">
        <v>10</v>
      </c>
      <c r="G26" s="12">
        <v>45329</v>
      </c>
      <c r="H26">
        <f t="shared" si="0"/>
        <v>140</v>
      </c>
    </row>
    <row r="27" spans="1:18" ht="15" customHeight="1" thickBot="1" x14ac:dyDescent="0.4">
      <c r="A27" s="6">
        <v>1026</v>
      </c>
      <c r="B27" s="7" t="s">
        <v>58</v>
      </c>
      <c r="C27" s="7" t="s">
        <v>28</v>
      </c>
      <c r="D27" s="7" t="s">
        <v>32</v>
      </c>
      <c r="E27" s="6">
        <v>16</v>
      </c>
      <c r="F27" s="6">
        <v>25</v>
      </c>
      <c r="G27" s="12">
        <v>45330</v>
      </c>
      <c r="H27">
        <f t="shared" si="0"/>
        <v>400</v>
      </c>
    </row>
    <row r="28" spans="1:18" ht="15" customHeight="1" thickBot="1" x14ac:dyDescent="0.4">
      <c r="A28" s="6">
        <v>1027</v>
      </c>
      <c r="B28" s="7" t="s">
        <v>59</v>
      </c>
      <c r="C28" s="7" t="s">
        <v>31</v>
      </c>
      <c r="D28" s="7" t="s">
        <v>36</v>
      </c>
      <c r="E28" s="6">
        <v>22</v>
      </c>
      <c r="F28" s="6">
        <v>5</v>
      </c>
      <c r="G28" s="12">
        <v>45331</v>
      </c>
      <c r="H28">
        <f t="shared" si="0"/>
        <v>110</v>
      </c>
    </row>
    <row r="29" spans="1:18" ht="15" customHeight="1" thickBot="1" x14ac:dyDescent="0.4">
      <c r="A29" s="6">
        <v>1028</v>
      </c>
      <c r="B29" s="7" t="s">
        <v>60</v>
      </c>
      <c r="C29" s="7" t="s">
        <v>34</v>
      </c>
      <c r="D29" s="7" t="s">
        <v>39</v>
      </c>
      <c r="E29" s="6">
        <v>27</v>
      </c>
      <c r="F29" s="6">
        <v>8</v>
      </c>
      <c r="G29" s="12">
        <v>45332</v>
      </c>
      <c r="H29">
        <f t="shared" si="0"/>
        <v>216</v>
      </c>
    </row>
    <row r="30" spans="1:18" ht="15" customHeight="1" thickBot="1" x14ac:dyDescent="0.4">
      <c r="A30" s="6">
        <v>1029</v>
      </c>
      <c r="B30" s="7" t="s">
        <v>61</v>
      </c>
      <c r="C30" s="7" t="s">
        <v>25</v>
      </c>
      <c r="D30" s="7" t="s">
        <v>26</v>
      </c>
      <c r="E30" s="6">
        <v>13</v>
      </c>
      <c r="F30" s="6">
        <v>50</v>
      </c>
      <c r="G30" s="12">
        <v>45334</v>
      </c>
      <c r="H30">
        <f t="shared" si="0"/>
        <v>650</v>
      </c>
    </row>
    <row r="31" spans="1:18" ht="15" customHeight="1" thickBot="1" x14ac:dyDescent="0.4">
      <c r="A31" s="6">
        <v>1030</v>
      </c>
      <c r="B31" s="7" t="s">
        <v>62</v>
      </c>
      <c r="C31" s="7" t="s">
        <v>28</v>
      </c>
      <c r="D31" s="7" t="s">
        <v>29</v>
      </c>
      <c r="E31" s="6">
        <v>32</v>
      </c>
      <c r="F31" s="6">
        <v>10</v>
      </c>
      <c r="G31" s="12">
        <v>45335</v>
      </c>
      <c r="H31">
        <f t="shared" si="0"/>
        <v>320</v>
      </c>
    </row>
    <row r="32" spans="1:18" ht="15" customHeight="1" thickBot="1" x14ac:dyDescent="0.4">
      <c r="A32" s="6">
        <v>1031</v>
      </c>
      <c r="B32" s="7" t="s">
        <v>63</v>
      </c>
      <c r="C32" s="7" t="s">
        <v>31</v>
      </c>
      <c r="D32" s="7" t="s">
        <v>32</v>
      </c>
      <c r="E32" s="6">
        <v>10</v>
      </c>
      <c r="F32" s="6">
        <v>25</v>
      </c>
      <c r="G32" s="12">
        <v>45336</v>
      </c>
      <c r="H32">
        <f t="shared" si="0"/>
        <v>250</v>
      </c>
    </row>
    <row r="33" spans="1:8" ht="15" customHeight="1" thickBot="1" x14ac:dyDescent="0.4">
      <c r="A33" s="6">
        <v>1032</v>
      </c>
      <c r="B33" s="7" t="s">
        <v>64</v>
      </c>
      <c r="C33" s="7" t="s">
        <v>34</v>
      </c>
      <c r="D33" s="7" t="s">
        <v>36</v>
      </c>
      <c r="E33" s="6">
        <v>18</v>
      </c>
      <c r="F33" s="6">
        <v>5</v>
      </c>
      <c r="G33" s="12">
        <v>45338</v>
      </c>
      <c r="H33">
        <f t="shared" si="0"/>
        <v>90</v>
      </c>
    </row>
    <row r="34" spans="1:8" ht="15" customHeight="1" thickBot="1" x14ac:dyDescent="0.4">
      <c r="A34" s="6">
        <v>1033</v>
      </c>
      <c r="B34" s="7" t="s">
        <v>65</v>
      </c>
      <c r="C34" s="7" t="s">
        <v>25</v>
      </c>
      <c r="D34" s="7" t="s">
        <v>39</v>
      </c>
      <c r="E34" s="6">
        <v>22</v>
      </c>
      <c r="F34" s="6">
        <v>8</v>
      </c>
      <c r="G34" s="12">
        <v>45339</v>
      </c>
      <c r="H34">
        <f t="shared" si="0"/>
        <v>176</v>
      </c>
    </row>
    <row r="35" spans="1:8" ht="15" customHeight="1" thickBot="1" x14ac:dyDescent="0.4">
      <c r="A35" s="6">
        <v>1034</v>
      </c>
      <c r="B35" s="7" t="s">
        <v>66</v>
      </c>
      <c r="C35" s="7" t="s">
        <v>28</v>
      </c>
      <c r="D35" s="7" t="s">
        <v>26</v>
      </c>
      <c r="E35" s="6">
        <v>17</v>
      </c>
      <c r="F35" s="6">
        <v>50</v>
      </c>
      <c r="G35" s="12">
        <v>45340</v>
      </c>
      <c r="H35">
        <f t="shared" si="0"/>
        <v>850</v>
      </c>
    </row>
    <row r="36" spans="1:8" ht="15" customHeight="1" thickBot="1" x14ac:dyDescent="0.4">
      <c r="A36" s="6">
        <v>1035</v>
      </c>
      <c r="B36" s="7" t="s">
        <v>67</v>
      </c>
      <c r="C36" s="7" t="s">
        <v>31</v>
      </c>
      <c r="D36" s="7" t="s">
        <v>29</v>
      </c>
      <c r="E36" s="6">
        <v>19</v>
      </c>
      <c r="F36" s="6">
        <v>10</v>
      </c>
      <c r="G36" s="12">
        <v>45341</v>
      </c>
      <c r="H36">
        <f t="shared" si="0"/>
        <v>190</v>
      </c>
    </row>
    <row r="37" spans="1:8" ht="15" customHeight="1" thickBot="1" x14ac:dyDescent="0.4">
      <c r="A37" s="6">
        <v>1036</v>
      </c>
      <c r="B37" s="7" t="s">
        <v>68</v>
      </c>
      <c r="C37" s="7" t="s">
        <v>34</v>
      </c>
      <c r="D37" s="7" t="s">
        <v>32</v>
      </c>
      <c r="E37" s="6">
        <v>15</v>
      </c>
      <c r="F37" s="6">
        <v>25</v>
      </c>
      <c r="G37" s="12">
        <v>45343</v>
      </c>
      <c r="H37">
        <f t="shared" si="0"/>
        <v>375</v>
      </c>
    </row>
    <row r="38" spans="1:8" ht="15" customHeight="1" thickBot="1" x14ac:dyDescent="0.4">
      <c r="A38" s="6">
        <v>1037</v>
      </c>
      <c r="B38" s="7" t="s">
        <v>69</v>
      </c>
      <c r="C38" s="7" t="s">
        <v>25</v>
      </c>
      <c r="D38" s="7" t="s">
        <v>36</v>
      </c>
      <c r="E38" s="6">
        <v>28</v>
      </c>
      <c r="F38" s="6">
        <v>5</v>
      </c>
      <c r="G38" s="12">
        <v>45344</v>
      </c>
      <c r="H38">
        <f t="shared" si="0"/>
        <v>140</v>
      </c>
    </row>
    <row r="39" spans="1:8" ht="15" customHeight="1" thickBot="1" x14ac:dyDescent="0.4">
      <c r="A39" s="6">
        <v>1038</v>
      </c>
      <c r="B39" s="7" t="s">
        <v>70</v>
      </c>
      <c r="C39" s="7" t="s">
        <v>28</v>
      </c>
      <c r="D39" s="7" t="s">
        <v>39</v>
      </c>
      <c r="E39" s="6">
        <v>24</v>
      </c>
      <c r="F39" s="6">
        <v>8</v>
      </c>
      <c r="G39" s="12">
        <v>45345</v>
      </c>
      <c r="H39">
        <f t="shared" si="0"/>
        <v>192</v>
      </c>
    </row>
    <row r="40" spans="1:8" ht="15" customHeight="1" thickBot="1" x14ac:dyDescent="0.4">
      <c r="A40" s="6">
        <v>1039</v>
      </c>
      <c r="B40" s="7" t="s">
        <v>71</v>
      </c>
      <c r="C40" s="7" t="s">
        <v>31</v>
      </c>
      <c r="D40" s="7" t="s">
        <v>26</v>
      </c>
      <c r="E40" s="6">
        <v>16</v>
      </c>
      <c r="F40" s="6">
        <v>50</v>
      </c>
      <c r="G40" s="12">
        <v>45347</v>
      </c>
      <c r="H40">
        <f t="shared" si="0"/>
        <v>800</v>
      </c>
    </row>
    <row r="41" spans="1:8" ht="15" customHeight="1" thickBot="1" x14ac:dyDescent="0.4">
      <c r="A41" s="6">
        <v>1040</v>
      </c>
      <c r="B41" s="7" t="s">
        <v>72</v>
      </c>
      <c r="C41" s="7" t="s">
        <v>34</v>
      </c>
      <c r="D41" s="7" t="s">
        <v>29</v>
      </c>
      <c r="E41" s="6">
        <v>27</v>
      </c>
      <c r="F41" s="6">
        <v>10</v>
      </c>
      <c r="G41" s="12">
        <v>45348</v>
      </c>
      <c r="H41">
        <f t="shared" si="0"/>
        <v>270</v>
      </c>
    </row>
    <row r="42" spans="1:8" ht="15" customHeight="1" thickBot="1" x14ac:dyDescent="0.4">
      <c r="A42" s="6">
        <v>1041</v>
      </c>
      <c r="B42" s="7" t="s">
        <v>73</v>
      </c>
      <c r="C42" s="7" t="s">
        <v>25</v>
      </c>
      <c r="D42" s="7" t="s">
        <v>32</v>
      </c>
      <c r="E42" s="6">
        <v>21</v>
      </c>
      <c r="F42" s="6">
        <v>25</v>
      </c>
      <c r="G42" s="12">
        <v>45349</v>
      </c>
      <c r="H42">
        <f t="shared" si="0"/>
        <v>525</v>
      </c>
    </row>
    <row r="43" spans="1:8" ht="15" customHeight="1" thickBot="1" x14ac:dyDescent="0.4">
      <c r="A43" s="6">
        <v>1042</v>
      </c>
      <c r="B43" s="7" t="s">
        <v>74</v>
      </c>
      <c r="C43" s="7" t="s">
        <v>28</v>
      </c>
      <c r="D43" s="7" t="s">
        <v>36</v>
      </c>
      <c r="E43" s="6">
        <v>30</v>
      </c>
      <c r="F43" s="6">
        <v>5</v>
      </c>
      <c r="G43" s="12">
        <v>45350</v>
      </c>
      <c r="H43">
        <f t="shared" si="0"/>
        <v>150</v>
      </c>
    </row>
    <row r="44" spans="1:8" ht="15" customHeight="1" thickBot="1" x14ac:dyDescent="0.4">
      <c r="A44" s="6">
        <v>1043</v>
      </c>
      <c r="B44" s="7" t="s">
        <v>75</v>
      </c>
      <c r="C44" s="7" t="s">
        <v>31</v>
      </c>
      <c r="D44" s="7" t="s">
        <v>39</v>
      </c>
      <c r="E44" s="6">
        <v>26</v>
      </c>
      <c r="F44" s="6">
        <v>8</v>
      </c>
      <c r="G44" s="12">
        <v>45352</v>
      </c>
      <c r="H44">
        <f t="shared" si="0"/>
        <v>208</v>
      </c>
    </row>
    <row r="45" spans="1:8" ht="15" customHeight="1" thickBot="1" x14ac:dyDescent="0.4">
      <c r="A45" s="6">
        <v>1044</v>
      </c>
      <c r="B45" s="7" t="s">
        <v>76</v>
      </c>
      <c r="C45" s="7" t="s">
        <v>34</v>
      </c>
      <c r="D45" s="7" t="s">
        <v>26</v>
      </c>
      <c r="E45" s="6">
        <v>14</v>
      </c>
      <c r="F45" s="6">
        <v>50</v>
      </c>
      <c r="G45" s="12">
        <v>45353</v>
      </c>
      <c r="H45">
        <f t="shared" si="0"/>
        <v>700</v>
      </c>
    </row>
    <row r="46" spans="1:8" ht="15" customHeight="1" thickBot="1" x14ac:dyDescent="0.4">
      <c r="A46" s="6">
        <v>1045</v>
      </c>
      <c r="B46" s="7" t="s">
        <v>77</v>
      </c>
      <c r="C46" s="7" t="s">
        <v>25</v>
      </c>
      <c r="D46" s="7" t="s">
        <v>29</v>
      </c>
      <c r="E46" s="6">
        <v>20</v>
      </c>
      <c r="F46" s="6">
        <v>10</v>
      </c>
      <c r="G46" s="12">
        <v>45354</v>
      </c>
      <c r="H46">
        <f t="shared" si="0"/>
        <v>200</v>
      </c>
    </row>
    <row r="47" spans="1:8" ht="15" customHeight="1" thickBot="1" x14ac:dyDescent="0.4">
      <c r="A47" s="6">
        <v>1046</v>
      </c>
      <c r="B47" s="7" t="s">
        <v>78</v>
      </c>
      <c r="C47" s="7" t="s">
        <v>28</v>
      </c>
      <c r="D47" s="7" t="s">
        <v>32</v>
      </c>
      <c r="E47" s="6">
        <v>17</v>
      </c>
      <c r="F47" s="6">
        <v>25</v>
      </c>
      <c r="G47" s="12">
        <v>45355</v>
      </c>
      <c r="H47">
        <f t="shared" si="0"/>
        <v>425</v>
      </c>
    </row>
    <row r="48" spans="1:8" ht="15" customHeight="1" thickBot="1" x14ac:dyDescent="0.4">
      <c r="A48" s="6">
        <v>1047</v>
      </c>
      <c r="B48" s="7" t="s">
        <v>79</v>
      </c>
      <c r="C48" s="7" t="s">
        <v>31</v>
      </c>
      <c r="D48" s="7" t="s">
        <v>36</v>
      </c>
      <c r="E48" s="6">
        <v>19</v>
      </c>
      <c r="F48" s="6">
        <v>5</v>
      </c>
      <c r="G48" s="12">
        <v>45356</v>
      </c>
      <c r="H48">
        <f t="shared" si="0"/>
        <v>95</v>
      </c>
    </row>
    <row r="49" spans="1:8" ht="15" customHeight="1" thickBot="1" x14ac:dyDescent="0.4">
      <c r="A49" s="6">
        <v>1048</v>
      </c>
      <c r="B49" s="7" t="s">
        <v>80</v>
      </c>
      <c r="C49" s="7" t="s">
        <v>34</v>
      </c>
      <c r="D49" s="7" t="s">
        <v>39</v>
      </c>
      <c r="E49" s="6">
        <v>32</v>
      </c>
      <c r="F49" s="6">
        <v>8</v>
      </c>
      <c r="G49" s="12">
        <v>45357</v>
      </c>
      <c r="H49">
        <f t="shared" si="0"/>
        <v>256</v>
      </c>
    </row>
    <row r="50" spans="1:8" ht="15" customHeight="1" thickBot="1" x14ac:dyDescent="0.4">
      <c r="A50" s="6">
        <v>1049</v>
      </c>
      <c r="B50" s="7" t="s">
        <v>81</v>
      </c>
      <c r="C50" s="7" t="s">
        <v>25</v>
      </c>
      <c r="D50" s="7" t="s">
        <v>26</v>
      </c>
      <c r="E50" s="6">
        <v>12</v>
      </c>
      <c r="F50" s="6">
        <v>50</v>
      </c>
      <c r="G50" s="12">
        <v>45358</v>
      </c>
      <c r="H50">
        <f t="shared" si="0"/>
        <v>600</v>
      </c>
    </row>
    <row r="51" spans="1:8" ht="15" customHeight="1" thickBot="1" x14ac:dyDescent="0.4">
      <c r="A51" s="6">
        <v>1050</v>
      </c>
      <c r="B51" s="7" t="s">
        <v>82</v>
      </c>
      <c r="C51" s="7" t="s">
        <v>28</v>
      </c>
      <c r="D51" s="7" t="s">
        <v>29</v>
      </c>
      <c r="E51" s="6">
        <v>25</v>
      </c>
      <c r="F51" s="6">
        <v>10</v>
      </c>
      <c r="G51" s="12">
        <v>45359</v>
      </c>
      <c r="H51">
        <f t="shared" si="0"/>
        <v>250</v>
      </c>
    </row>
  </sheetData>
  <mergeCells count="5">
    <mergeCell ref="J2:R2"/>
    <mergeCell ref="J5:R5"/>
    <mergeCell ref="J8:R8"/>
    <mergeCell ref="J11:R11"/>
    <mergeCell ref="J24:R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Answer2-3</vt:lpstr>
      <vt:lpstr>Answer 4-8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2026-02-19T15:22:33Z</dcterms:created>
  <dcterms:modified xsi:type="dcterms:W3CDTF">2026-04-20T10:26:18Z</dcterms:modified>
</cp:coreProperties>
</file>